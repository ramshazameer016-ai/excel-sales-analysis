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3b478b5bd1cc1/Documents/"/>
    </mc:Choice>
  </mc:AlternateContent>
  <xr:revisionPtr revIDLastSave="9" documentId="8_{DF2A75CC-9A7E-4947-AEB6-864ADD4A9C35}" xr6:coauthVersionLast="47" xr6:coauthVersionMax="47" xr10:uidLastSave="{A00F1DC5-B0F0-4EDC-936E-45E0AE9DC763}"/>
  <bookViews>
    <workbookView xWindow="-108" yWindow="-108" windowWidth="23256" windowHeight="12456" xr2:uid="{FFDC0E34-DC0E-4516-8E7F-C9B5702467F3}"/>
  </bookViews>
  <sheets>
    <sheet name="raw data" sheetId="1" r:id="rId1"/>
    <sheet name="cleaned data" sheetId="2" r:id="rId2"/>
    <sheet name="analysis" sheetId="3" r:id="rId3"/>
    <sheet name="dashboard" sheetId="4" r:id="rId4"/>
    <sheet name="find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4" i="3"/>
  <c r="E3" i="3"/>
  <c r="I15" i="3"/>
  <c r="L3" i="3" a="1"/>
  <c r="L3" i="3" s="1"/>
  <c r="L9" i="3" a="1"/>
  <c r="L9" i="3" s="1"/>
  <c r="L4" i="3" a="1"/>
  <c r="L4" i="3" s="1"/>
  <c r="L5" i="3" a="1"/>
  <c r="L5" i="3"/>
  <c r="L6" i="3" a="1"/>
  <c r="L6" i="3" s="1"/>
  <c r="L7" i="3" a="1"/>
  <c r="L7" i="3"/>
  <c r="L8" i="3" a="1"/>
  <c r="L8" i="3" s="1"/>
  <c r="L10" i="3" a="1"/>
  <c r="L10" i="3" s="1"/>
  <c r="L11" i="3" a="1"/>
  <c r="L11" i="3" s="1"/>
  <c r="L12" i="3" a="1"/>
  <c r="L12" i="3" s="1"/>
  <c r="L13" i="3" a="1"/>
  <c r="L13" i="3"/>
  <c r="L14" i="3" a="1"/>
  <c r="L14" i="3" s="1"/>
  <c r="L2" i="3" a="1"/>
  <c r="L2" i="3" s="1"/>
  <c r="K5" i="3"/>
  <c r="K6" i="3"/>
  <c r="K7" i="3"/>
  <c r="K8" i="3"/>
  <c r="K9" i="3"/>
  <c r="K10" i="3"/>
  <c r="K11" i="3"/>
  <c r="K12" i="3"/>
  <c r="K13" i="3"/>
  <c r="K14" i="3"/>
  <c r="K4" i="3"/>
  <c r="K3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I3" i="3"/>
  <c r="I4" i="3"/>
  <c r="I5" i="3"/>
  <c r="I6" i="3"/>
  <c r="I7" i="3"/>
  <c r="I8" i="3"/>
  <c r="I9" i="3"/>
  <c r="I10" i="3"/>
  <c r="I11" i="3"/>
  <c r="I12" i="3"/>
  <c r="I13" i="3"/>
  <c r="I14" i="3"/>
  <c r="I2" i="3"/>
  <c r="H2" i="3"/>
  <c r="G4" i="3"/>
  <c r="G3" i="3"/>
  <c r="G2" i="3"/>
  <c r="E2" i="3"/>
  <c r="B6" i="3"/>
  <c r="B5" i="3"/>
  <c r="B4" i="3"/>
  <c r="B3" i="3"/>
  <c r="B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C3" i="2"/>
  <c r="C4" i="2"/>
  <c r="C5" i="2"/>
  <c r="C6" i="2"/>
  <c r="C7" i="2"/>
  <c r="C8" i="2"/>
  <c r="C9" i="2"/>
  <c r="C10" i="2"/>
  <c r="C11" i="2"/>
  <c r="C12" i="2"/>
  <c r="C13" i="2"/>
  <c r="C14" i="2"/>
  <c r="B3" i="2"/>
  <c r="B4" i="2"/>
  <c r="B5" i="2"/>
  <c r="B6" i="2"/>
  <c r="B7" i="2"/>
  <c r="B8" i="2"/>
  <c r="B9" i="2"/>
  <c r="B10" i="2"/>
  <c r="B11" i="2"/>
  <c r="B12" i="2"/>
  <c r="B13" i="2"/>
  <c r="B14" i="2"/>
  <c r="A3" i="2"/>
  <c r="A4" i="2"/>
  <c r="A5" i="2"/>
  <c r="A6" i="2"/>
  <c r="A7" i="2"/>
  <c r="A8" i="2"/>
  <c r="A9" i="2"/>
  <c r="A10" i="2"/>
  <c r="A11" i="2"/>
  <c r="A12" i="2"/>
  <c r="A13" i="2"/>
  <c r="A14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<sst xmlns="http://schemas.openxmlformats.org/spreadsheetml/2006/main" count="114" uniqueCount="75">
  <si>
    <t>NAME</t>
  </si>
  <si>
    <t>Aisha</t>
  </si>
  <si>
    <t>PRIYA</t>
  </si>
  <si>
    <t xml:space="preserve">    Ravi</t>
  </si>
  <si>
    <t>Karan</t>
  </si>
  <si>
    <t xml:space="preserve">   Sneha</t>
  </si>
  <si>
    <t>Arjun</t>
  </si>
  <si>
    <t>Meera</t>
  </si>
  <si>
    <t>Rohit</t>
  </si>
  <si>
    <t>Duvya</t>
  </si>
  <si>
    <t>Nikhil</t>
  </si>
  <si>
    <t xml:space="preserve">     Vikram</t>
  </si>
  <si>
    <t>Ananya</t>
  </si>
  <si>
    <t>Pooja</t>
  </si>
  <si>
    <t>REGION</t>
  </si>
  <si>
    <t>north</t>
  </si>
  <si>
    <t>south</t>
  </si>
  <si>
    <t>east</t>
  </si>
  <si>
    <t xml:space="preserve">    north</t>
  </si>
  <si>
    <t>PRODUCT</t>
  </si>
  <si>
    <t>SALES</t>
  </si>
  <si>
    <t>MONTH</t>
  </si>
  <si>
    <t>Laptop</t>
  </si>
  <si>
    <t>phone</t>
  </si>
  <si>
    <t>Tablet</t>
  </si>
  <si>
    <t>PHONE</t>
  </si>
  <si>
    <t>laptop</t>
  </si>
  <si>
    <t>Phone</t>
  </si>
  <si>
    <t>LAPTOP</t>
  </si>
  <si>
    <t>january</t>
  </si>
  <si>
    <t>febuary</t>
  </si>
  <si>
    <t>march</t>
  </si>
  <si>
    <t>april</t>
  </si>
  <si>
    <t>may</t>
  </si>
  <si>
    <t xml:space="preserve">Name </t>
  </si>
  <si>
    <t>Region</t>
  </si>
  <si>
    <t>Product</t>
  </si>
  <si>
    <t>Sales</t>
  </si>
  <si>
    <t>Month</t>
  </si>
  <si>
    <t>Metric</t>
  </si>
  <si>
    <t>Value</t>
  </si>
  <si>
    <t>Total Sales</t>
  </si>
  <si>
    <t>Average Sales</t>
  </si>
  <si>
    <t>Highest Sales</t>
  </si>
  <si>
    <t>Lowest Sales</t>
  </si>
  <si>
    <t>Total Salespeople</t>
  </si>
  <si>
    <t>North</t>
  </si>
  <si>
    <t>South</t>
  </si>
  <si>
    <t>East</t>
  </si>
  <si>
    <t>West</t>
  </si>
  <si>
    <t>Name</t>
  </si>
  <si>
    <t>Performance</t>
  </si>
  <si>
    <t>Bonus Eligible</t>
  </si>
  <si>
    <t>Grade</t>
  </si>
  <si>
    <t>SALES ANALYSIS FINDINGS</t>
  </si>
  <si>
    <t>Analyst  : RAMSHA ZAMEER</t>
  </si>
  <si>
    <t>Date :  08/07/26</t>
  </si>
  <si>
    <t>Date Period  :  January- May</t>
  </si>
  <si>
    <t xml:space="preserve">KEY FINDINGS </t>
  </si>
  <si>
    <t xml:space="preserve">TOTAL REVENUE </t>
  </si>
  <si>
    <t>1. Total revenue across all salespeople: ₹5,34,000</t>
  </si>
  <si>
    <t>2. North region leads with ₹2,61,000  in total sales — highest among all regions</t>
  </si>
  <si>
    <t>3. Laptop is the top product contributing 37% of total revenue</t>
  </si>
  <si>
    <t>4. Meera is the highest individual performer with ₹62,000</t>
  </si>
  <si>
    <t>5. West region has the lowest total sales at ₹1,65,000  and needs attention</t>
  </si>
  <si>
    <t>6. 3 out of 13 salespeople qualify as High performers (sales above ₹50,000)</t>
  </si>
  <si>
    <t>RECOMMENDATIONS:</t>
  </si>
  <si>
    <t>1. Increase Laptop stock — it contributes over 50% of revenue</t>
  </si>
  <si>
    <t>2. Investigate why North region has zero Phone sales</t>
  </si>
  <si>
    <t>3. Consider incentive program for Medium performers to push them to High</t>
  </si>
  <si>
    <t>4. South region needs a review — lowest average performance</t>
  </si>
  <si>
    <t>DATA QUALITY ISSUES FOUND:</t>
  </si>
  <si>
    <t>1. 2 duplicate rows removed (Karan — February, Aisha — January)</t>
  </si>
  <si>
    <t>2. Inconsistent capitalization fixed (phone → Phone, LAPTOP → Laptop)</t>
  </si>
  <si>
    <t>3. Extra spaces removed from 4 salesperson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</si>
</sst>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170" fontId="0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analysis!$D$2:$D$5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analysis!$E$2:$E$5</c:f>
              <c:numCache>
                <c:formatCode>General</c:formatCode>
                <c:ptCount val="4"/>
                <c:pt idx="0">
                  <c:v>261000</c:v>
                </c:pt>
                <c:pt idx="1">
                  <c:v>124000</c:v>
                </c:pt>
                <c:pt idx="2">
                  <c:v>149000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C-455F-A6F2-EC052855AA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3778944"/>
        <c:axId val="9523344"/>
      </c:barChart>
      <c:catAx>
        <c:axId val="16377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3344"/>
        <c:crosses val="autoZero"/>
        <c:auto val="1"/>
        <c:lblAlgn val="ctr"/>
        <c:lblOffset val="100"/>
        <c:noMultiLvlLbl val="0"/>
      </c:catAx>
      <c:valAx>
        <c:axId val="952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8944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analysis!$G$1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explosion val="56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DF-49F9-BB7A-DDE21B23538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DF-49F9-BB7A-DDE21B23538C}"/>
              </c:ext>
            </c:extLst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DF-49F9-BB7A-DDE21B235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analysis!$F$2:$F$4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analysis!$G$2:$G$4</c:f>
              <c:numCache>
                <c:formatCode>0.0%</c:formatCode>
                <c:ptCount val="3"/>
                <c:pt idx="0">
                  <c:v>199000</c:v>
                </c:pt>
                <c:pt idx="1">
                  <c:v>142000</c:v>
                </c:pt>
                <c:pt idx="2">
                  <c:v>193000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DF-49F9-BB7A-DDE21B2353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lgerian" panose="04020705040A02060702" pitchFamily="82" charset="0"/>
              </a:rPr>
              <a:t>Sales</a:t>
            </a:r>
            <a:r>
              <a:rPr lang="en-IN" b="1" baseline="0">
                <a:latin typeface="Algerian" panose="04020705040A02060702" pitchFamily="82" charset="0"/>
              </a:rPr>
              <a:t> by Salesperson</a:t>
            </a:r>
            <a:endParaRPr lang="en-IN" b="1">
              <a:latin typeface="Algerian" panose="04020705040A020607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55336832895888"/>
          <c:y val="0.16708333333333336"/>
          <c:w val="0.84511329833770776"/>
          <c:h val="0.543803222513852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analysis!$H$2</c:f>
              <c:strCache>
                <c:ptCount val="1"/>
                <c:pt idx="0">
                  <c:v>Aisha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analysis!$I$2</c:f>
              <c:numCache>
                <c:formatCode>General</c:formatCode>
                <c:ptCount val="1"/>
                <c:pt idx="0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2-4630-81FE-51E222E209E1}"/>
            </c:ext>
          </c:extLst>
        </c:ser>
        <c:ser>
          <c:idx val="1"/>
          <c:order val="1"/>
          <c:tx>
            <c:strRef>
              <c:f>analysis!$H$3</c:f>
              <c:strCache>
                <c:ptCount val="1"/>
                <c:pt idx="0">
                  <c:v>Ravi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analysis!$I$3</c:f>
              <c:numCache>
                <c:formatCode>General</c:formatCode>
                <c:ptCount val="1"/>
                <c:pt idx="0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2-4630-81FE-51E222E209E1}"/>
            </c:ext>
          </c:extLst>
        </c:ser>
        <c:ser>
          <c:idx val="2"/>
          <c:order val="2"/>
          <c:tx>
            <c:strRef>
              <c:f>analysis!$H$4</c:f>
              <c:strCache>
                <c:ptCount val="1"/>
                <c:pt idx="0">
                  <c:v>Priya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analysis!$I$4</c:f>
              <c:numCache>
                <c:formatCode>General</c:formatCode>
                <c:ptCount val="1"/>
                <c:pt idx="0">
                  <c:v>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22-4630-81FE-51E222E209E1}"/>
            </c:ext>
          </c:extLst>
        </c:ser>
        <c:ser>
          <c:idx val="3"/>
          <c:order val="3"/>
          <c:tx>
            <c:strRef>
              <c:f>analysis!$H$5</c:f>
              <c:strCache>
                <c:ptCount val="1"/>
                <c:pt idx="0">
                  <c:v>Karan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analysis!$I$5</c:f>
              <c:numCache>
                <c:formatCode>General</c:formatCode>
                <c:ptCount val="1"/>
                <c:pt idx="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22-4630-81FE-51E222E209E1}"/>
            </c:ext>
          </c:extLst>
        </c:ser>
        <c:ser>
          <c:idx val="4"/>
          <c:order val="4"/>
          <c:tx>
            <c:strRef>
              <c:f>analysis!$H$6</c:f>
              <c:strCache>
                <c:ptCount val="1"/>
                <c:pt idx="0">
                  <c:v>Sneha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analysis!$I$6</c:f>
              <c:numCache>
                <c:formatCode>General</c:formatCode>
                <c:ptCount val="1"/>
                <c:pt idx="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22-4630-81FE-51E222E209E1}"/>
            </c:ext>
          </c:extLst>
        </c:ser>
        <c:ser>
          <c:idx val="5"/>
          <c:order val="5"/>
          <c:tx>
            <c:strRef>
              <c:f>analysis!$H$7</c:f>
              <c:strCache>
                <c:ptCount val="1"/>
                <c:pt idx="0">
                  <c:v>Arjun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analysis!$I$7</c:f>
              <c:numCache>
                <c:formatCode>General</c:formatCode>
                <c:ptCount val="1"/>
                <c:pt idx="0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22-4630-81FE-51E222E209E1}"/>
            </c:ext>
          </c:extLst>
        </c:ser>
        <c:ser>
          <c:idx val="6"/>
          <c:order val="6"/>
          <c:tx>
            <c:strRef>
              <c:f>analysis!$H$8</c:f>
              <c:strCache>
                <c:ptCount val="1"/>
                <c:pt idx="0">
                  <c:v>Meera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analysis!$I$8</c:f>
              <c:numCache>
                <c:formatCode>General</c:formatCode>
                <c:ptCount val="1"/>
                <c:pt idx="0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22-4630-81FE-51E222E209E1}"/>
            </c:ext>
          </c:extLst>
        </c:ser>
        <c:ser>
          <c:idx val="7"/>
          <c:order val="7"/>
          <c:tx>
            <c:strRef>
              <c:f>analysis!$H$9</c:f>
              <c:strCache>
                <c:ptCount val="1"/>
                <c:pt idx="0">
                  <c:v>Rohit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analysis!$I$9</c:f>
              <c:numCache>
                <c:formatCode>General</c:formatCode>
                <c:ptCount val="1"/>
                <c:pt idx="0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22-4630-81FE-51E222E209E1}"/>
            </c:ext>
          </c:extLst>
        </c:ser>
        <c:ser>
          <c:idx val="8"/>
          <c:order val="8"/>
          <c:tx>
            <c:strRef>
              <c:f>analysis!$H$10</c:f>
              <c:strCache>
                <c:ptCount val="1"/>
                <c:pt idx="0">
                  <c:v>Duvya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analysis!$I$10</c:f>
              <c:numCache>
                <c:formatCode>General</c:formatCode>
                <c:ptCount val="1"/>
                <c:pt idx="0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22-4630-81FE-51E222E209E1}"/>
            </c:ext>
          </c:extLst>
        </c:ser>
        <c:ser>
          <c:idx val="9"/>
          <c:order val="9"/>
          <c:tx>
            <c:strRef>
              <c:f>analysis!$H$11</c:f>
              <c:strCache>
                <c:ptCount val="1"/>
                <c:pt idx="0">
                  <c:v>Nikhil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analysis!$I$11</c:f>
              <c:numCache>
                <c:formatCode>General</c:formatCode>
                <c:ptCount val="1"/>
                <c:pt idx="0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722-4630-81FE-51E222E209E1}"/>
            </c:ext>
          </c:extLst>
        </c:ser>
        <c:ser>
          <c:idx val="10"/>
          <c:order val="10"/>
          <c:tx>
            <c:strRef>
              <c:f>analysis!$H$12</c:f>
              <c:strCache>
                <c:ptCount val="1"/>
                <c:pt idx="0">
                  <c:v>Vikram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analysis!$I$12</c:f>
              <c:numCache>
                <c:formatCode>General</c:formatCode>
                <c:ptCount val="1"/>
                <c:pt idx="0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22-4630-81FE-51E222E209E1}"/>
            </c:ext>
          </c:extLst>
        </c:ser>
        <c:ser>
          <c:idx val="11"/>
          <c:order val="11"/>
          <c:tx>
            <c:strRef>
              <c:f>analysis!$H$13</c:f>
              <c:strCache>
                <c:ptCount val="1"/>
                <c:pt idx="0">
                  <c:v>Ananya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analysis!$I$13</c:f>
              <c:numCache>
                <c:formatCode>General</c:formatCode>
                <c:ptCount val="1"/>
                <c:pt idx="0">
                  <c:v>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722-4630-81FE-51E222E209E1}"/>
            </c:ext>
          </c:extLst>
        </c:ser>
        <c:ser>
          <c:idx val="12"/>
          <c:order val="12"/>
          <c:tx>
            <c:strRef>
              <c:f>analysis!$H$14</c:f>
              <c:strCache>
                <c:ptCount val="1"/>
                <c:pt idx="0">
                  <c:v>Pooja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analysis!$I$14</c:f>
              <c:numCache>
                <c:formatCode>General</c:formatCode>
                <c:ptCount val="1"/>
                <c:pt idx="0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722-4630-81FE-51E222E20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23504"/>
        <c:axId val="9481584"/>
      </c:barChart>
      <c:catAx>
        <c:axId val="16362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1584"/>
        <c:crosses val="autoZero"/>
        <c:auto val="1"/>
        <c:lblAlgn val="ctr"/>
        <c:lblOffset val="100"/>
        <c:noMultiLvlLbl val="0"/>
      </c:catAx>
      <c:valAx>
        <c:axId val="948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23504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7</xdr:col>
      <xdr:colOff>167640</xdr:colOff>
      <xdr:row>12</xdr:row>
      <xdr:rowOff>160020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E1C86880-FD1C-1E58-C453-0CCF6A6BC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91440</xdr:rowOff>
    </xdr:from>
    <xdr:to>
      <xdr:col>13</xdr:col>
      <xdr:colOff>533400</xdr:colOff>
      <xdr:row>12</xdr:row>
      <xdr:rowOff>167640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8FA9E48D-7BBF-3861-D970-CA43DB160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548640</xdr:colOff>
      <xdr:row>0</xdr:row>
      <xdr:rowOff>93134</xdr:rowOff>
    </xdr:from>
    <xdr:to>
      <xdr:col>20</xdr:col>
      <xdr:colOff>137160</xdr:colOff>
      <xdr:row>12</xdr:row>
      <xdr:rowOff>167640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FE20F5FA-03D6-F7BA-EDAB-7EB0F2A97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972F-4601-4AFF-A106-DDCBCA028255}">
  <dimension ref="A1:E16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4.4" x14ac:dyDescent="0.3"/>
  <sheetData>
    <row r="1" spans="1:5" x14ac:dyDescent="0.3">
      <c r="A1" s="3" t="s">
        <v>0</v>
      </c>
      <c r="B1" s="3" t="s">
        <v>14</v>
      </c>
      <c r="C1" s="3" t="s">
        <v>19</v>
      </c>
      <c r="D1" s="3" t="s">
        <v>20</v>
      </c>
      <c r="E1" s="3" t="s">
        <v>21</v>
      </c>
    </row>
    <row r="2" spans="1:5" x14ac:dyDescent="0.3">
      <c r="A2" t="s">
        <v>1</v>
      </c>
      <c r="B2" t="s">
        <v>15</v>
      </c>
      <c r="C2" t="s">
        <v>22</v>
      </c>
      <c r="D2">
        <v>45000</v>
      </c>
      <c r="E2" t="s">
        <v>29</v>
      </c>
    </row>
    <row r="3" spans="1:5" x14ac:dyDescent="0.3">
      <c r="A3" t="s">
        <v>3</v>
      </c>
      <c r="B3" t="s">
        <v>16</v>
      </c>
      <c r="C3" t="s">
        <v>23</v>
      </c>
      <c r="D3">
        <v>32000</v>
      </c>
      <c r="E3" t="s">
        <v>29</v>
      </c>
    </row>
    <row r="4" spans="1:5" x14ac:dyDescent="0.3">
      <c r="A4" t="s">
        <v>2</v>
      </c>
      <c r="B4" t="s">
        <v>15</v>
      </c>
      <c r="C4" t="s">
        <v>22</v>
      </c>
      <c r="D4">
        <v>51000</v>
      </c>
      <c r="E4" t="s">
        <v>30</v>
      </c>
    </row>
    <row r="5" spans="1:5" x14ac:dyDescent="0.3">
      <c r="A5" t="s">
        <v>4</v>
      </c>
      <c r="B5" t="s">
        <v>17</v>
      </c>
      <c r="C5" t="s">
        <v>24</v>
      </c>
      <c r="D5">
        <v>28000</v>
      </c>
      <c r="E5" t="s">
        <v>30</v>
      </c>
    </row>
    <row r="6" spans="1:5" x14ac:dyDescent="0.3">
      <c r="A6" t="s">
        <v>4</v>
      </c>
      <c r="B6" t="s">
        <v>17</v>
      </c>
      <c r="C6" t="s">
        <v>24</v>
      </c>
      <c r="D6">
        <v>28000</v>
      </c>
      <c r="E6" t="s">
        <v>30</v>
      </c>
    </row>
    <row r="7" spans="1:5" x14ac:dyDescent="0.3">
      <c r="A7" t="s">
        <v>5</v>
      </c>
      <c r="B7" t="s">
        <v>16</v>
      </c>
      <c r="C7" t="s">
        <v>25</v>
      </c>
      <c r="D7">
        <v>39000</v>
      </c>
      <c r="E7" t="s">
        <v>31</v>
      </c>
    </row>
    <row r="8" spans="1:5" x14ac:dyDescent="0.3">
      <c r="A8" t="s">
        <v>6</v>
      </c>
      <c r="B8" t="s">
        <v>17</v>
      </c>
      <c r="C8" t="s">
        <v>26</v>
      </c>
      <c r="D8">
        <v>62000</v>
      </c>
      <c r="E8" t="s">
        <v>31</v>
      </c>
    </row>
    <row r="9" spans="1:5" x14ac:dyDescent="0.3">
      <c r="A9" t="s">
        <v>7</v>
      </c>
      <c r="B9" t="s">
        <v>18</v>
      </c>
      <c r="C9" t="s">
        <v>24</v>
      </c>
      <c r="D9">
        <v>21000</v>
      </c>
      <c r="E9" t="s">
        <v>31</v>
      </c>
    </row>
    <row r="10" spans="1:5" x14ac:dyDescent="0.3">
      <c r="A10" t="s">
        <v>1</v>
      </c>
      <c r="B10" t="s">
        <v>15</v>
      </c>
      <c r="C10" t="s">
        <v>22</v>
      </c>
      <c r="D10">
        <v>45000</v>
      </c>
      <c r="E10" t="s">
        <v>29</v>
      </c>
    </row>
    <row r="11" spans="1:5" x14ac:dyDescent="0.3">
      <c r="A11" t="s">
        <v>8</v>
      </c>
      <c r="B11" t="s">
        <v>16</v>
      </c>
      <c r="C11" t="s">
        <v>22</v>
      </c>
      <c r="D11">
        <v>55000</v>
      </c>
      <c r="E11" t="s">
        <v>32</v>
      </c>
    </row>
    <row r="12" spans="1:5" x14ac:dyDescent="0.3">
      <c r="A12" t="s">
        <v>9</v>
      </c>
      <c r="B12" t="s">
        <v>17</v>
      </c>
      <c r="C12" t="s">
        <v>27</v>
      </c>
      <c r="D12">
        <v>43000</v>
      </c>
      <c r="E12" t="s">
        <v>32</v>
      </c>
    </row>
    <row r="13" spans="1:5" x14ac:dyDescent="0.3">
      <c r="A13" t="s">
        <v>10</v>
      </c>
      <c r="B13" t="s">
        <v>15</v>
      </c>
      <c r="C13" t="s">
        <v>24</v>
      </c>
      <c r="D13">
        <v>37000</v>
      </c>
      <c r="E13" t="s">
        <v>32</v>
      </c>
    </row>
    <row r="14" spans="1:5" x14ac:dyDescent="0.3">
      <c r="A14" t="s">
        <v>11</v>
      </c>
      <c r="B14" t="s">
        <v>16</v>
      </c>
      <c r="C14" t="s">
        <v>28</v>
      </c>
      <c r="D14">
        <v>48000</v>
      </c>
      <c r="E14" t="s">
        <v>33</v>
      </c>
    </row>
    <row r="15" spans="1:5" x14ac:dyDescent="0.3">
      <c r="A15" t="s">
        <v>12</v>
      </c>
      <c r="B15" t="s">
        <v>17</v>
      </c>
      <c r="C15" t="s">
        <v>23</v>
      </c>
      <c r="D15">
        <v>29000</v>
      </c>
      <c r="E15" t="s">
        <v>33</v>
      </c>
    </row>
    <row r="16" spans="1:5" x14ac:dyDescent="0.3">
      <c r="A16" t="s">
        <v>13</v>
      </c>
      <c r="B16" t="s">
        <v>15</v>
      </c>
      <c r="C16" t="s">
        <v>24</v>
      </c>
      <c r="D16">
        <v>33000</v>
      </c>
      <c r="E1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CE96-E6F3-427C-A1F1-0444803211F6}">
  <dimension ref="A1:E15"/>
  <sheetViews>
    <sheetView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13.77734375" customWidth="1"/>
  </cols>
  <sheetData>
    <row r="1" spans="1:5" x14ac:dyDescent="0.3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</row>
    <row r="2" spans="1:5" x14ac:dyDescent="0.3">
      <c r="A2" t="str">
        <f>PROPER(TRIM('raw data'!A2))</f>
        <v>Aisha</v>
      </c>
      <c r="B2" t="str">
        <f>PROPER(TRIM('raw data'!B2))</f>
        <v>North</v>
      </c>
      <c r="C2" t="str">
        <f>PROPER(TRIM('raw data'!C2))</f>
        <v>Laptop</v>
      </c>
      <c r="D2">
        <f>'raw data'!D2</f>
        <v>45000</v>
      </c>
      <c r="E2" t="str">
        <f>PROPER(TRIM('raw data'!E2))</f>
        <v>January</v>
      </c>
    </row>
    <row r="3" spans="1:5" x14ac:dyDescent="0.3">
      <c r="A3" t="str">
        <f>PROPER(TRIM('raw data'!A3))</f>
        <v>Ravi</v>
      </c>
      <c r="B3" t="str">
        <f>PROPER(TRIM('raw data'!B3))</f>
        <v>South</v>
      </c>
      <c r="C3" t="str">
        <f>PROPER(TRIM('raw data'!C3))</f>
        <v>Phone</v>
      </c>
      <c r="D3">
        <f>'raw data'!D3</f>
        <v>32000</v>
      </c>
      <c r="E3" t="str">
        <f>PROPER(TRIM('raw data'!E3))</f>
        <v>January</v>
      </c>
    </row>
    <row r="4" spans="1:5" x14ac:dyDescent="0.3">
      <c r="A4" t="str">
        <f>PROPER(TRIM('raw data'!A4))</f>
        <v>Priya</v>
      </c>
      <c r="B4" t="str">
        <f>PROPER(TRIM('raw data'!B4))</f>
        <v>North</v>
      </c>
      <c r="C4" t="str">
        <f>PROPER(TRIM('raw data'!C4))</f>
        <v>Laptop</v>
      </c>
      <c r="D4">
        <f>'raw data'!D4</f>
        <v>51000</v>
      </c>
      <c r="E4" t="str">
        <f>PROPER(TRIM('raw data'!E4))</f>
        <v>Febuary</v>
      </c>
    </row>
    <row r="5" spans="1:5" x14ac:dyDescent="0.3">
      <c r="A5" t="str">
        <f>PROPER(TRIM('raw data'!A5))</f>
        <v>Karan</v>
      </c>
      <c r="B5" t="str">
        <f>PROPER(TRIM('raw data'!B5))</f>
        <v>East</v>
      </c>
      <c r="C5" t="str">
        <f>PROPER(TRIM('raw data'!C5))</f>
        <v>Tablet</v>
      </c>
      <c r="D5">
        <f>'raw data'!D5</f>
        <v>28000</v>
      </c>
      <c r="E5" t="str">
        <f>PROPER(TRIM('raw data'!E5))</f>
        <v>Febuary</v>
      </c>
    </row>
    <row r="6" spans="1:5" x14ac:dyDescent="0.3">
      <c r="A6" t="str">
        <f>PROPER(TRIM('raw data'!A7))</f>
        <v>Sneha</v>
      </c>
      <c r="B6" t="str">
        <f>PROPER(TRIM('raw data'!B7))</f>
        <v>South</v>
      </c>
      <c r="C6" t="str">
        <f>PROPER(TRIM('raw data'!C7))</f>
        <v>Phone</v>
      </c>
      <c r="D6">
        <f>'raw data'!D6</f>
        <v>28000</v>
      </c>
      <c r="E6" t="str">
        <f>PROPER(TRIM('raw data'!E7))</f>
        <v>March</v>
      </c>
    </row>
    <row r="7" spans="1:5" x14ac:dyDescent="0.3">
      <c r="A7" t="str">
        <f>PROPER(TRIM('raw data'!A8))</f>
        <v>Arjun</v>
      </c>
      <c r="B7" t="str">
        <f>PROPER(TRIM('raw data'!B8))</f>
        <v>East</v>
      </c>
      <c r="C7" t="str">
        <f>PROPER(TRIM('raw data'!C8))</f>
        <v>Laptop</v>
      </c>
      <c r="D7">
        <f>'raw data'!D7</f>
        <v>39000</v>
      </c>
      <c r="E7" t="str">
        <f>PROPER(TRIM('raw data'!E8))</f>
        <v>March</v>
      </c>
    </row>
    <row r="8" spans="1:5" x14ac:dyDescent="0.3">
      <c r="A8" t="str">
        <f>PROPER(TRIM('raw data'!A9))</f>
        <v>Meera</v>
      </c>
      <c r="B8" t="str">
        <f>PROPER(TRIM('raw data'!B9))</f>
        <v>North</v>
      </c>
      <c r="C8" t="str">
        <f>PROPER(TRIM('raw data'!C9))</f>
        <v>Tablet</v>
      </c>
      <c r="D8">
        <f>'raw data'!D8</f>
        <v>62000</v>
      </c>
      <c r="E8" t="str">
        <f>PROPER(TRIM('raw data'!E9))</f>
        <v>March</v>
      </c>
    </row>
    <row r="9" spans="1:5" x14ac:dyDescent="0.3">
      <c r="A9" t="str">
        <f>PROPER(TRIM('raw data'!A11))</f>
        <v>Rohit</v>
      </c>
      <c r="B9" t="str">
        <f>PROPER(TRIM('raw data'!B11))</f>
        <v>South</v>
      </c>
      <c r="C9" t="str">
        <f>PROPER(TRIM('raw data'!C11))</f>
        <v>Laptop</v>
      </c>
      <c r="D9">
        <f>'raw data'!D9</f>
        <v>21000</v>
      </c>
      <c r="E9" t="str">
        <f>PROPER(TRIM('raw data'!E11))</f>
        <v>April</v>
      </c>
    </row>
    <row r="10" spans="1:5" x14ac:dyDescent="0.3">
      <c r="A10" t="str">
        <f>PROPER(TRIM('raw data'!A12))</f>
        <v>Duvya</v>
      </c>
      <c r="B10" t="str">
        <f>PROPER(TRIM('raw data'!B12))</f>
        <v>East</v>
      </c>
      <c r="C10" t="str">
        <f>PROPER(TRIM('raw data'!C12))</f>
        <v>Phone</v>
      </c>
      <c r="D10">
        <f>'raw data'!D10</f>
        <v>45000</v>
      </c>
      <c r="E10" t="str">
        <f>PROPER(TRIM('raw data'!E12))</f>
        <v>April</v>
      </c>
    </row>
    <row r="11" spans="1:5" x14ac:dyDescent="0.3">
      <c r="A11" t="str">
        <f>PROPER(TRIM('raw data'!A13))</f>
        <v>Nikhil</v>
      </c>
      <c r="B11" t="str">
        <f>PROPER(TRIM('raw data'!B13))</f>
        <v>North</v>
      </c>
      <c r="C11" t="str">
        <f>PROPER(TRIM('raw data'!C13))</f>
        <v>Tablet</v>
      </c>
      <c r="D11">
        <f>'raw data'!D11</f>
        <v>55000</v>
      </c>
      <c r="E11" t="str">
        <f>PROPER(TRIM('raw data'!E13))</f>
        <v>April</v>
      </c>
    </row>
    <row r="12" spans="1:5" x14ac:dyDescent="0.3">
      <c r="A12" t="str">
        <f>PROPER(TRIM('raw data'!A14))</f>
        <v>Vikram</v>
      </c>
      <c r="B12" t="str">
        <f>PROPER(TRIM('raw data'!B14))</f>
        <v>South</v>
      </c>
      <c r="C12" t="str">
        <f>PROPER(TRIM('raw data'!C14))</f>
        <v>Laptop</v>
      </c>
      <c r="D12">
        <f>'raw data'!D12</f>
        <v>43000</v>
      </c>
      <c r="E12" t="str">
        <f>PROPER(TRIM('raw data'!E14))</f>
        <v>May</v>
      </c>
    </row>
    <row r="13" spans="1:5" x14ac:dyDescent="0.3">
      <c r="A13" t="str">
        <f>PROPER(TRIM('raw data'!A15))</f>
        <v>Ananya</v>
      </c>
      <c r="B13" t="str">
        <f>PROPER(TRIM('raw data'!B15))</f>
        <v>East</v>
      </c>
      <c r="C13" t="str">
        <f>PROPER(TRIM('raw data'!C15))</f>
        <v>Phone</v>
      </c>
      <c r="D13">
        <f>'raw data'!D13</f>
        <v>37000</v>
      </c>
      <c r="E13" t="str">
        <f>PROPER(TRIM('raw data'!E15))</f>
        <v>May</v>
      </c>
    </row>
    <row r="14" spans="1:5" x14ac:dyDescent="0.3">
      <c r="A14" t="str">
        <f>PROPER(TRIM('raw data'!A16))</f>
        <v>Pooja</v>
      </c>
      <c r="B14" t="str">
        <f>PROPER(TRIM('raw data'!B16))</f>
        <v>North</v>
      </c>
      <c r="C14" t="str">
        <f>PROPER(TRIM('raw data'!C16))</f>
        <v>Tablet</v>
      </c>
      <c r="D14">
        <f>'raw data'!D14</f>
        <v>48000</v>
      </c>
      <c r="E14" t="str">
        <f>PROPER(TRIM('raw data'!E16))</f>
        <v>May</v>
      </c>
    </row>
    <row r="15" spans="1:5" x14ac:dyDescent="0.3">
      <c r="D15">
        <f>'raw data'!D15</f>
        <v>29000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ABBC-33E8-470B-A192-82D4EB57872A}">
  <dimension ref="A1:L15"/>
  <sheetViews>
    <sheetView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5.88671875" customWidth="1"/>
    <col min="5" max="5" width="12.21875" customWidth="1"/>
    <col min="7" max="7" width="13.109375" customWidth="1"/>
    <col min="8" max="8" width="15.109375" customWidth="1"/>
    <col min="10" max="10" width="11.6640625" customWidth="1"/>
    <col min="11" max="11" width="12.88671875" customWidth="1"/>
  </cols>
  <sheetData>
    <row r="1" spans="1:12" x14ac:dyDescent="0.3">
      <c r="A1" s="3" t="s">
        <v>39</v>
      </c>
      <c r="B1" s="3" t="s">
        <v>40</v>
      </c>
      <c r="C1" s="3"/>
      <c r="D1" s="3" t="s">
        <v>35</v>
      </c>
      <c r="E1" s="3" t="s">
        <v>41</v>
      </c>
      <c r="F1" s="3" t="s">
        <v>36</v>
      </c>
      <c r="G1" s="3" t="s">
        <v>41</v>
      </c>
      <c r="H1" s="3" t="s">
        <v>50</v>
      </c>
      <c r="I1" s="3" t="s">
        <v>37</v>
      </c>
      <c r="J1" s="3" t="s">
        <v>51</v>
      </c>
      <c r="K1" s="3" t="s">
        <v>52</v>
      </c>
      <c r="L1" s="3" t="s">
        <v>53</v>
      </c>
    </row>
    <row r="2" spans="1:12" x14ac:dyDescent="0.3">
      <c r="A2" t="s">
        <v>41</v>
      </c>
      <c r="B2">
        <f>SUM('cleaned data'!D2:D14)</f>
        <v>534000</v>
      </c>
      <c r="D2" t="s">
        <v>46</v>
      </c>
      <c r="E2">
        <f>SUMIF('cleaned data'!B2:B14, "North", 'cleaned data'!D2:D14)</f>
        <v>261000</v>
      </c>
      <c r="F2" t="s">
        <v>22</v>
      </c>
      <c r="G2" s="2">
        <f>SUMIF('cleaned data'!C2:C14, "Laptop",'cleaned data'!D2:D14)</f>
        <v>199000</v>
      </c>
      <c r="H2" t="str">
        <f>'cleaned data'!A2</f>
        <v>Aisha</v>
      </c>
      <c r="I2">
        <f>'cleaned data'!D2</f>
        <v>45000</v>
      </c>
      <c r="J2" t="str">
        <f>IF(I2&gt;=50000,"high", IF(I2&gt;=35000, "medium","low"))</f>
        <v>medium</v>
      </c>
      <c r="K2" t="str">
        <f>IF(AND(I2&gt;40000,'cleaned data'!B2="North"), "yes", "no")</f>
        <v>yes</v>
      </c>
      <c r="L2" t="str" cm="1">
        <f t="array" ref="L2">_xlfn.IFS(I2&gt;55000, "A", I2&gt;45000, "B", I2&gt;35000,"C", I2&gt;25000,"D")</f>
        <v>C</v>
      </c>
    </row>
    <row r="3" spans="1:12" x14ac:dyDescent="0.3">
      <c r="A3" t="s">
        <v>42</v>
      </c>
      <c r="B3">
        <f>AVERAGE('cleaned data'!D2:D14)</f>
        <v>41076.923076923078</v>
      </c>
      <c r="D3" t="s">
        <v>47</v>
      </c>
      <c r="E3">
        <f>SUMIF('cleaned data'!B3:B15, "South", 'cleaned data'!D3:D15)</f>
        <v>124000</v>
      </c>
      <c r="F3" t="s">
        <v>27</v>
      </c>
      <c r="G3" s="2">
        <f>SUMIF('cleaned data'!C2:C14, "Phone", 'cleaned data'!D2:D14)</f>
        <v>142000</v>
      </c>
      <c r="H3" t="str">
        <f>'cleaned data'!A3</f>
        <v>Ravi</v>
      </c>
      <c r="I3">
        <f>'cleaned data'!D3</f>
        <v>32000</v>
      </c>
      <c r="J3" t="str">
        <f t="shared" ref="J3:J14" si="0">IF(I3&gt;=50000,"high", IF(I3&gt;=35000, "medium","low"))</f>
        <v>low</v>
      </c>
      <c r="K3" t="str">
        <f>IF(AND(12&gt;40000, 'cleaned data'!B2="North"), "yes", "no")</f>
        <v>no</v>
      </c>
      <c r="L3" t="str" cm="1">
        <f t="array" ref="L3">_xlfn.IFS(I3&gt;55000, "A", I3&gt;45000, "B", I3&gt;35000,"C", I3&gt;25000,"D")</f>
        <v>D</v>
      </c>
    </row>
    <row r="4" spans="1:12" x14ac:dyDescent="0.3">
      <c r="A4" t="s">
        <v>43</v>
      </c>
      <c r="B4">
        <f>MAX('cleaned data'!D2:D14)</f>
        <v>62000</v>
      </c>
      <c r="D4" t="s">
        <v>48</v>
      </c>
      <c r="E4">
        <f>SUMIF('cleaned data'!B4:B16, "East", 'cleaned data'!D4:D16)</f>
        <v>149000</v>
      </c>
      <c r="F4" t="s">
        <v>24</v>
      </c>
      <c r="G4" s="2">
        <f>SUMIF('cleaned data'!C2:C14,"Tablet", 'cleaned data'!D2:D14)</f>
        <v>193000</v>
      </c>
      <c r="H4" t="str">
        <f>'cleaned data'!A4</f>
        <v>Priya</v>
      </c>
      <c r="I4">
        <f>'cleaned data'!D4</f>
        <v>51000</v>
      </c>
      <c r="J4" t="str">
        <f t="shared" si="0"/>
        <v>high</v>
      </c>
      <c r="K4" t="str">
        <f>IF(AND(I2&gt;40000, 'cleaned data'!B2="North"), "yes", "no")</f>
        <v>yes</v>
      </c>
      <c r="L4" t="str" cm="1">
        <f t="array" ref="L4">_xlfn.IFS(I4&gt;55000, "A", I4&gt;45000, "B", I4&gt;35000,"C", I4&gt;25000,"D")</f>
        <v>B</v>
      </c>
    </row>
    <row r="5" spans="1:12" x14ac:dyDescent="0.3">
      <c r="A5" t="s">
        <v>44</v>
      </c>
      <c r="B5">
        <f>MIN('cleaned data'!D2:D14)</f>
        <v>21000</v>
      </c>
      <c r="D5" t="s">
        <v>49</v>
      </c>
      <c r="E5">
        <f>SUMIF('cleaned data'!B5:B17, "West", 'cleaned data'!D5:D17)</f>
        <v>0</v>
      </c>
      <c r="H5" t="str">
        <f>'cleaned data'!A5</f>
        <v>Karan</v>
      </c>
      <c r="I5">
        <f>'cleaned data'!D5</f>
        <v>28000</v>
      </c>
      <c r="J5" t="str">
        <f t="shared" si="0"/>
        <v>low</v>
      </c>
      <c r="K5" t="str">
        <f>IF(AND(I3&gt;40000, 'cleaned data'!B3="North"), "yes", "no")</f>
        <v>no</v>
      </c>
      <c r="L5" t="str" cm="1">
        <f t="array" ref="L5">_xlfn.IFS(I5&gt;55000, "A", I5&gt;45000, "B", I5&gt;35000,"C", I5&gt;25000,"D")</f>
        <v>D</v>
      </c>
    </row>
    <row r="6" spans="1:12" x14ac:dyDescent="0.3">
      <c r="A6" t="s">
        <v>45</v>
      </c>
      <c r="B6">
        <f>COUNTA('cleaned data'!A2:A14)</f>
        <v>13</v>
      </c>
      <c r="H6" t="str">
        <f>'cleaned data'!A6</f>
        <v>Sneha</v>
      </c>
      <c r="I6">
        <f>'cleaned data'!D6</f>
        <v>28000</v>
      </c>
      <c r="J6" t="str">
        <f t="shared" si="0"/>
        <v>low</v>
      </c>
      <c r="K6" t="str">
        <f>IF(AND(I4&gt;40000, 'cleaned data'!B4="North"), "yes", "no")</f>
        <v>yes</v>
      </c>
      <c r="L6" t="str" cm="1">
        <f t="array" ref="L6">_xlfn.IFS(I6&gt;55000, "A", I6&gt;45000, "B", I6&gt;35000,"C", I6&gt;25000,"D")</f>
        <v>D</v>
      </c>
    </row>
    <row r="7" spans="1:12" x14ac:dyDescent="0.3">
      <c r="H7" t="str">
        <f>'cleaned data'!A7</f>
        <v>Arjun</v>
      </c>
      <c r="I7">
        <f>'cleaned data'!D7</f>
        <v>39000</v>
      </c>
      <c r="J7" t="str">
        <f t="shared" si="0"/>
        <v>medium</v>
      </c>
      <c r="K7" t="str">
        <f>IF(AND(I5&gt;40000, 'cleaned data'!B5="North"), "yes", "no")</f>
        <v>no</v>
      </c>
      <c r="L7" t="str" cm="1">
        <f t="array" ref="L7">_xlfn.IFS(I7&gt;55000, "A", I7&gt;45000, "B", I7&gt;35000,"C", I7&gt;25000,"D")</f>
        <v>C</v>
      </c>
    </row>
    <row r="8" spans="1:12" x14ac:dyDescent="0.3">
      <c r="H8" t="str">
        <f>'cleaned data'!A8</f>
        <v>Meera</v>
      </c>
      <c r="I8">
        <f>'cleaned data'!D8</f>
        <v>62000</v>
      </c>
      <c r="J8" t="str">
        <f t="shared" si="0"/>
        <v>high</v>
      </c>
      <c r="K8" t="str">
        <f>IF(AND(I6&gt;40000, 'cleaned data'!B6="North"), "yes", "no")</f>
        <v>no</v>
      </c>
      <c r="L8" t="str" cm="1">
        <f t="array" ref="L8">_xlfn.IFS(I8&gt;55000, "A", I8&gt;45000, "B", I8&gt;35000,"C", I8&gt;25000,"D")</f>
        <v>A</v>
      </c>
    </row>
    <row r="9" spans="1:12" x14ac:dyDescent="0.3">
      <c r="H9" t="str">
        <f>'cleaned data'!A9</f>
        <v>Rohit</v>
      </c>
      <c r="I9">
        <f>'cleaned data'!D9</f>
        <v>21000</v>
      </c>
      <c r="J9" t="str">
        <f t="shared" si="0"/>
        <v>low</v>
      </c>
      <c r="K9" t="str">
        <f>IF(AND(I7&gt;40000, 'cleaned data'!B7="North"), "yes", "no")</f>
        <v>no</v>
      </c>
      <c r="L9" t="e" cm="1">
        <f t="array" ref="L9">_xlfn.IFS(I9&gt;55000, "A", I9&gt;45000, "B", I9&gt;35000,"C", I9&gt;25000,"D")</f>
        <v>#N/A</v>
      </c>
    </row>
    <row r="10" spans="1:12" x14ac:dyDescent="0.3">
      <c r="H10" t="str">
        <f>'cleaned data'!A10</f>
        <v>Duvya</v>
      </c>
      <c r="I10">
        <f>'cleaned data'!D10</f>
        <v>45000</v>
      </c>
      <c r="J10" t="str">
        <f t="shared" si="0"/>
        <v>medium</v>
      </c>
      <c r="K10" t="str">
        <f>IF(AND(I8&gt;40000, 'cleaned data'!B8="North"), "yes", "no")</f>
        <v>yes</v>
      </c>
      <c r="L10" t="str" cm="1">
        <f t="array" ref="L10">_xlfn.IFS(I10&gt;55000, "A", I10&gt;45000, "B", I10&gt;35000,"C", I10&gt;25000,"D")</f>
        <v>C</v>
      </c>
    </row>
    <row r="11" spans="1:12" x14ac:dyDescent="0.3">
      <c r="H11" t="str">
        <f>'cleaned data'!A11</f>
        <v>Nikhil</v>
      </c>
      <c r="I11">
        <f>'cleaned data'!D11</f>
        <v>55000</v>
      </c>
      <c r="J11" t="str">
        <f t="shared" si="0"/>
        <v>high</v>
      </c>
      <c r="K11" t="str">
        <f>IF(AND(I9&gt;40000, 'cleaned data'!B9="North"), "yes", "no")</f>
        <v>no</v>
      </c>
      <c r="L11" t="str" cm="1">
        <f t="array" ref="L11">_xlfn.IFS(I11&gt;55000, "A", I11&gt;45000, "B", I11&gt;35000,"C", I11&gt;25000,"D")</f>
        <v>B</v>
      </c>
    </row>
    <row r="12" spans="1:12" x14ac:dyDescent="0.3">
      <c r="H12" t="str">
        <f>'cleaned data'!A12</f>
        <v>Vikram</v>
      </c>
      <c r="I12">
        <f>'cleaned data'!D12</f>
        <v>43000</v>
      </c>
      <c r="J12" t="str">
        <f t="shared" si="0"/>
        <v>medium</v>
      </c>
      <c r="K12" t="str">
        <f>IF(AND(I10&gt;40000, 'cleaned data'!B10="North"), "yes", "no")</f>
        <v>no</v>
      </c>
      <c r="L12" t="str" cm="1">
        <f t="array" ref="L12">_xlfn.IFS(I12&gt;55000, "A", I12&gt;45000, "B", I12&gt;35000,"C", I12&gt;25000,"D")</f>
        <v>C</v>
      </c>
    </row>
    <row r="13" spans="1:12" x14ac:dyDescent="0.3">
      <c r="H13" t="str">
        <f>'cleaned data'!A13</f>
        <v>Ananya</v>
      </c>
      <c r="I13">
        <f>'cleaned data'!D13</f>
        <v>37000</v>
      </c>
      <c r="J13" t="str">
        <f t="shared" si="0"/>
        <v>medium</v>
      </c>
      <c r="K13" t="str">
        <f>IF(AND(I11&gt;40000, 'cleaned data'!B11="North"), "yes", "no")</f>
        <v>yes</v>
      </c>
      <c r="L13" t="str" cm="1">
        <f t="array" ref="L13">_xlfn.IFS(I13&gt;55000, "A", I13&gt;45000, "B", I13&gt;35000,"C", I13&gt;25000,"D")</f>
        <v>C</v>
      </c>
    </row>
    <row r="14" spans="1:12" x14ac:dyDescent="0.3">
      <c r="H14" t="str">
        <f>'cleaned data'!A14</f>
        <v>Pooja</v>
      </c>
      <c r="I14">
        <f>'cleaned data'!D14</f>
        <v>48000</v>
      </c>
      <c r="J14" t="str">
        <f t="shared" si="0"/>
        <v>medium</v>
      </c>
      <c r="K14" t="str">
        <f>IF(AND(I12&gt;40000, 'cleaned data'!B12="North"), "yes", "no")</f>
        <v>no</v>
      </c>
      <c r="L14" t="str" cm="1">
        <f t="array" ref="L14">_xlfn.IFS(I14&gt;55000, "A", I14&gt;45000, "B", I14&gt;35000,"C", I14&gt;25000,"D")</f>
        <v>B</v>
      </c>
    </row>
    <row r="15" spans="1:12" x14ac:dyDescent="0.3">
      <c r="H15" t="s">
        <v>59</v>
      </c>
      <c r="I15">
        <f>SUM(I2:I14)</f>
        <v>534000</v>
      </c>
    </row>
  </sheetData>
  <conditionalFormatting sqref="J1:J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max"/>
        <color rgb="FF63BE7B"/>
        <color rgb="FFFCFCFF"/>
      </colorScale>
    </cfRule>
    <cfRule type="cellIs" dxfId="7" priority="6" operator="greaterThan">
      <formula>55000</formula>
    </cfRule>
    <cfRule type="cellIs" dxfId="6" priority="5" operator="equal">
      <formula>"high"</formula>
    </cfRule>
    <cfRule type="cellIs" dxfId="5" priority="3" operator="equal">
      <formula>"high"</formula>
    </cfRule>
    <cfRule type="cellIs" dxfId="4" priority="2" operator="equal">
      <formula>"medium"</formula>
    </cfRule>
  </conditionalFormatting>
  <conditionalFormatting sqref="J1:J104857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1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I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D7BF-8363-49E3-AFD9-79CBE1F2914C}">
  <dimension ref="A1"/>
  <sheetViews>
    <sheetView showGridLines="0" zoomScale="90" zoomScaleNormal="90" workbookViewId="0">
      <selection activeCell="M17" sqref="M17"/>
    </sheetView>
  </sheetViews>
  <sheetFormatPr defaultRowHeight="14.4" x14ac:dyDescent="0.3"/>
  <cols>
    <col min="2" max="2" width="7.5546875" bestFit="1" customWidth="1"/>
    <col min="3" max="3" width="9.109375" bestFit="1" customWidth="1"/>
    <col min="4" max="4" width="6" bestFit="1" customWidth="1"/>
    <col min="5" max="5" width="7.554687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64ED-C5EC-4317-BDAE-AB4393E14691}">
  <dimension ref="A1:A23"/>
  <sheetViews>
    <sheetView showGridLines="0" workbookViewId="0">
      <selection activeCell="I25" sqref="I25"/>
    </sheetView>
  </sheetViews>
  <sheetFormatPr defaultRowHeight="14.4" x14ac:dyDescent="0.3"/>
  <cols>
    <col min="1" max="1" width="55.21875" customWidth="1"/>
  </cols>
  <sheetData>
    <row r="1" spans="1:1" ht="25.2" x14ac:dyDescent="0.6">
      <c r="A1" s="1" t="s">
        <v>54</v>
      </c>
    </row>
    <row r="2" spans="1:1" x14ac:dyDescent="0.3">
      <c r="A2" t="s">
        <v>55</v>
      </c>
    </row>
    <row r="3" spans="1:1" x14ac:dyDescent="0.3">
      <c r="A3" t="s">
        <v>56</v>
      </c>
    </row>
    <row r="4" spans="1:1" x14ac:dyDescent="0.3">
      <c r="A4" t="s">
        <v>57</v>
      </c>
    </row>
    <row r="6" spans="1:1" x14ac:dyDescent="0.3">
      <c r="A6" s="3" t="s">
        <v>58</v>
      </c>
    </row>
    <row r="7" spans="1:1" x14ac:dyDescent="0.3">
      <c r="A7" t="s">
        <v>60</v>
      </c>
    </row>
    <row r="8" spans="1:1" x14ac:dyDescent="0.3">
      <c r="A8" t="s">
        <v>61</v>
      </c>
    </row>
    <row r="9" spans="1:1" x14ac:dyDescent="0.3">
      <c r="A9" t="s">
        <v>62</v>
      </c>
    </row>
    <row r="10" spans="1:1" x14ac:dyDescent="0.3">
      <c r="A10" t="s">
        <v>63</v>
      </c>
    </row>
    <row r="11" spans="1:1" x14ac:dyDescent="0.3">
      <c r="A11" t="s">
        <v>64</v>
      </c>
    </row>
    <row r="12" spans="1:1" x14ac:dyDescent="0.3">
      <c r="A12" t="s">
        <v>65</v>
      </c>
    </row>
    <row r="14" spans="1:1" x14ac:dyDescent="0.3">
      <c r="A14" s="3" t="s">
        <v>66</v>
      </c>
    </row>
    <row r="15" spans="1:1" x14ac:dyDescent="0.3">
      <c r="A15" t="s">
        <v>67</v>
      </c>
    </row>
    <row r="16" spans="1:1" x14ac:dyDescent="0.3">
      <c r="A16" t="s">
        <v>68</v>
      </c>
    </row>
    <row r="17" spans="1:1" x14ac:dyDescent="0.3">
      <c r="A17" t="s">
        <v>69</v>
      </c>
    </row>
    <row r="18" spans="1:1" x14ac:dyDescent="0.3">
      <c r="A18" t="s">
        <v>70</v>
      </c>
    </row>
    <row r="20" spans="1:1" x14ac:dyDescent="0.3">
      <c r="A20" s="3" t="s">
        <v>71</v>
      </c>
    </row>
    <row r="21" spans="1:1" x14ac:dyDescent="0.3">
      <c r="A21" t="s">
        <v>72</v>
      </c>
    </row>
    <row r="22" spans="1:1" x14ac:dyDescent="0.3">
      <c r="A22" t="s">
        <v>73</v>
      </c>
    </row>
    <row r="23" spans="1:1" x14ac:dyDescent="0.3">
      <c r="A2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analysis</vt:lpstr>
      <vt:lpstr>dashboard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ramsha zameer</dc:creator>
  <cp:lastModifiedBy>ramsha zameer</cp:lastModifiedBy>
  <dcterms:created xsi:type="dcterms:W3CDTF">2026-07-08T12:08:19Z</dcterms:created>
  <dcterms:modified xsi:type="dcterms:W3CDTF">2026-07-08T13:59:15Z</dcterms:modified>
</cp:coreProperties>
</file>